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 word count" sheetId="1" r:id="rId5"/>
    <sheet state="visible" name="CXT keywords" sheetId="2" r:id="rId6"/>
  </sheets>
  <definedNames/>
  <calcPr/>
</workbook>
</file>

<file path=xl/sharedStrings.xml><?xml version="1.0" encoding="utf-8"?>
<sst xmlns="http://schemas.openxmlformats.org/spreadsheetml/2006/main" count="168" uniqueCount="125">
  <si>
    <t>Instructions Word Count</t>
  </si>
  <si>
    <t>Instructions Notes</t>
  </si>
  <si>
    <t>Has Rubric (1=yes, 0=no)</t>
  </si>
  <si>
    <t>Has Steps (1=yes, 0=no)</t>
  </si>
  <si>
    <t>Syllabus Word Count</t>
  </si>
  <si>
    <t>Syllabus Notes</t>
  </si>
  <si>
    <t>Department</t>
  </si>
  <si>
    <t>Discipline</t>
  </si>
  <si>
    <t>Semester</t>
  </si>
  <si>
    <t>EARLY</t>
  </si>
  <si>
    <t>LATE</t>
  </si>
  <si>
    <t>85-221 (Principles of Child Development)</t>
  </si>
  <si>
    <t>F21</t>
  </si>
  <si>
    <t>x</t>
  </si>
  <si>
    <t>- clear goal (exactly what question the student need to answer)
- formatting (lots of bold and underlined keywords for emphasis)
- clear step by step intructions
- have a grading criteria rubric for what the instructor is grading on and out of how many points</t>
  </si>
  <si>
    <t xml:space="preserve">- overview: clear goals and have clear goal questions (when, how, who, what)
- clear grading rubric, policies, class rules, etc. </t>
  </si>
  <si>
    <t>Psychology</t>
  </si>
  <si>
    <t>Social Science</t>
  </si>
  <si>
    <t>82-273 (Japanese Culture and Society)</t>
  </si>
  <si>
    <t>S22</t>
  </si>
  <si>
    <t>- mostly in bullet points and clear numbered questions 
- also have a clear criteria rubric for points</t>
  </si>
  <si>
    <t xml:space="preserve">- clear objectives and expectations
- numbered process to follow
- have a flow chart 
- have some repetitions
</t>
  </si>
  <si>
    <t>unavailable</t>
  </si>
  <si>
    <t>LCAL</t>
  </si>
  <si>
    <t>F24</t>
  </si>
  <si>
    <t>similar to S22</t>
  </si>
  <si>
    <t>84-389 (Terrorism and Insurgency)</t>
  </si>
  <si>
    <t>S25</t>
  </si>
  <si>
    <t>- shorter and concise, mostly just paragraphs and which question the student need to answer</t>
  </si>
  <si>
    <t xml:space="preserve">- very detailed paragraphs explanations
- have a overal schedule </t>
  </si>
  <si>
    <t>CMIST</t>
  </si>
  <si>
    <t>S26</t>
  </si>
  <si>
    <t>- short and clear</t>
  </si>
  <si>
    <t>simlar to S25</t>
  </si>
  <si>
    <t>82-270 (Technology in Japanese Culture and Society)</t>
  </si>
  <si>
    <t>- clear sections and concise
- have example template and notes
- color coded for emphasis and importance</t>
  </si>
  <si>
    <t>- clear sections
- outside resources
- clear semester schedule with related works</t>
  </si>
  <si>
    <t xml:space="preserve">79-211 (Modern Southeast Asia: Colonialism, Capitalism, and Cultural Exchange) </t>
  </si>
  <si>
    <t>F25</t>
  </si>
  <si>
    <t>- short and clear instructions
- point rubric</t>
  </si>
  <si>
    <t>- clear sections
- clear semester schedule with related works</t>
  </si>
  <si>
    <t>History</t>
  </si>
  <si>
    <t>76-247 (Shakespeare: Comedies &amp; Romances)</t>
  </si>
  <si>
    <t>English</t>
  </si>
  <si>
    <t>70-334 (Ethics of Emerging Technologies)</t>
  </si>
  <si>
    <t>- clear sections
- clear schedule with related works (with emphasis and such)</t>
  </si>
  <si>
    <t>Business Administration</t>
  </si>
  <si>
    <t>Business</t>
  </si>
  <si>
    <t>CXT KEYWORDS</t>
  </si>
  <si>
    <t>COUNT</t>
  </si>
  <si>
    <t>85-221 (F21)</t>
  </si>
  <si>
    <t>82-273 (S22)</t>
  </si>
  <si>
    <t>82-273 (F24)</t>
  </si>
  <si>
    <t>84-389 (S25)</t>
  </si>
  <si>
    <t>84-389 (S26)</t>
  </si>
  <si>
    <t>82-270 (F24)</t>
  </si>
  <si>
    <t>79-211 (F25)</t>
  </si>
  <si>
    <t>76-247 (F21)</t>
  </si>
  <si>
    <t>70-334 (S26)</t>
  </si>
  <si>
    <t>Early (X)</t>
  </si>
  <si>
    <t>Late</t>
  </si>
  <si>
    <t>Early</t>
  </si>
  <si>
    <t>CXT1: Question Framing</t>
  </si>
  <si>
    <t>claim</t>
  </si>
  <si>
    <t>frame</t>
  </si>
  <si>
    <t>reframe</t>
  </si>
  <si>
    <t>examine</t>
  </si>
  <si>
    <t>approach</t>
  </si>
  <si>
    <t>limitation</t>
  </si>
  <si>
    <t>who</t>
  </si>
  <si>
    <t>what</t>
  </si>
  <si>
    <t>where</t>
  </si>
  <si>
    <t>when</t>
  </si>
  <si>
    <t>how</t>
  </si>
  <si>
    <t>subject of study</t>
  </si>
  <si>
    <t>problem</t>
  </si>
  <si>
    <t>scholarly source</t>
  </si>
  <si>
    <t>factors</t>
  </si>
  <si>
    <t>CXT1 TOTAL</t>
  </si>
  <si>
    <t>CXT2a: Quality of Evidence</t>
  </si>
  <si>
    <t>source</t>
  </si>
  <si>
    <t>archival</t>
  </si>
  <si>
    <t>primary</t>
  </si>
  <si>
    <t>evidence/evident</t>
  </si>
  <si>
    <t>rigor</t>
  </si>
  <si>
    <t>relevance/relevant</t>
  </si>
  <si>
    <t>inquiry</t>
  </si>
  <si>
    <t>CXT2a TOTAL</t>
  </si>
  <si>
    <t>CXT2b: Use of Evidence</t>
  </si>
  <si>
    <t>interpret/interpretation</t>
  </si>
  <si>
    <t>transparent</t>
  </si>
  <si>
    <t>strategic</t>
  </si>
  <si>
    <t>support</t>
  </si>
  <si>
    <t>major points</t>
  </si>
  <si>
    <t>context</t>
  </si>
  <si>
    <t>CXT2b TOTAL</t>
  </si>
  <si>
    <t>CXT3: Historical Analysis</t>
  </si>
  <si>
    <t>issues</t>
  </si>
  <si>
    <t>events</t>
  </si>
  <si>
    <t>objects</t>
  </si>
  <si>
    <t>beyond recent past</t>
  </si>
  <si>
    <t>phenomena</t>
  </si>
  <si>
    <t>analyze</t>
  </si>
  <si>
    <t>past</t>
  </si>
  <si>
    <t>CXT3 TOTAL</t>
  </si>
  <si>
    <t>CXT4a: Traditions of Thought</t>
  </si>
  <si>
    <t>tradition</t>
  </si>
  <si>
    <t>ways of thinking</t>
  </si>
  <si>
    <t>developed over time</t>
  </si>
  <si>
    <t>economic</t>
  </si>
  <si>
    <t>social</t>
  </si>
  <si>
    <t>political</t>
  </si>
  <si>
    <t>ideological</t>
  </si>
  <si>
    <t>philosophical</t>
  </si>
  <si>
    <t>CXT4a TOTAL</t>
  </si>
  <si>
    <t>CXT4b: Reflection</t>
  </si>
  <si>
    <t>own thinking</t>
  </si>
  <si>
    <t>reflect/reflection</t>
  </si>
  <si>
    <t>belief</t>
  </si>
  <si>
    <t>influence</t>
  </si>
  <si>
    <t>acknowledge</t>
  </si>
  <si>
    <t>synthesize/synthesis</t>
  </si>
  <si>
    <t>limitations</t>
  </si>
  <si>
    <t>CXT4 TOTAL</t>
  </si>
  <si>
    <t>ALL KEYWORD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</si>
</sst>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222222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2" fontId="2" numFmtId="0" xfId="0" applyAlignment="1" applyFill="1" applyFont="1">
      <alignment horizontal="left" readingOrder="0"/>
    </xf>
    <xf borderId="0" fillId="3" fontId="2" numFmtId="0" xfId="0" applyAlignment="1" applyFill="1" applyFont="1">
      <alignment horizontal="left" readingOrder="0"/>
    </xf>
    <xf borderId="0" fillId="4" fontId="1" numFmtId="0" xfId="0" applyAlignment="1" applyFill="1" applyFont="1">
      <alignment horizontal="left" readingOrder="0"/>
    </xf>
    <xf borderId="0" fillId="3" fontId="3" numFmtId="0" xfId="0" applyAlignment="1" applyFont="1">
      <alignment horizontal="left" readingOrder="0" vertical="bottom"/>
    </xf>
    <xf borderId="0" fillId="0" fontId="4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5" fontId="1" numFmtId="0" xfId="0" applyAlignment="1" applyFill="1" applyFont="1">
      <alignment horizontal="left" readingOrder="0"/>
    </xf>
    <xf borderId="0" fillId="6" fontId="1" numFmtId="0" xfId="0" applyAlignment="1" applyFill="1" applyFont="1">
      <alignment horizontal="left" readingOrder="0"/>
    </xf>
    <xf borderId="0" fillId="7" fontId="1" numFmtId="0" xfId="0" applyAlignment="1" applyFill="1" applyFont="1">
      <alignment horizontal="left" readingOrder="0"/>
    </xf>
    <xf borderId="0" fillId="8" fontId="4" numFmtId="0" xfId="0" applyAlignment="1" applyFill="1" applyFont="1">
      <alignment horizontal="left" readingOrder="0" vertical="bottom"/>
    </xf>
    <xf borderId="0" fillId="8" fontId="4" numFmtId="0" xfId="0" applyAlignment="1" applyFont="1">
      <alignment horizontal="left" vertical="bottom"/>
    </xf>
    <xf borderId="0" fillId="0" fontId="1" numFmtId="0" xfId="0" applyAlignment="1" applyFont="1">
      <alignment horizontal="left" readingOrder="0"/>
    </xf>
    <xf borderId="0" fillId="8" fontId="5" numFmtId="0" xfId="0" applyAlignment="1" applyFont="1">
      <alignment horizontal="left" vertical="bottom"/>
    </xf>
    <xf borderId="0" fillId="9" fontId="4" numFmtId="0" xfId="0" applyAlignment="1" applyFill="1" applyFont="1">
      <alignment horizontal="left" vertical="bottom"/>
    </xf>
    <xf borderId="0" fillId="10" fontId="2" numFmtId="0" xfId="0" applyAlignment="1" applyFill="1" applyFont="1">
      <alignment readingOrder="0"/>
    </xf>
    <xf borderId="0" fillId="0" fontId="2" numFmtId="0" xfId="0" applyAlignment="1" applyFont="1">
      <alignment horizontal="center" readingOrder="0"/>
    </xf>
    <xf borderId="0" fillId="8" fontId="4" numFmtId="0" xfId="0" applyAlignment="1" applyFont="1">
      <alignment horizontal="center" readingOrder="0" vertical="bottom"/>
    </xf>
    <xf borderId="0" fillId="8" fontId="1" numFmtId="0" xfId="0" applyAlignment="1" applyFont="1">
      <alignment horizontal="center" readingOrder="0"/>
    </xf>
    <xf borderId="0" fillId="8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11" fontId="4" numFmtId="0" xfId="0" applyAlignment="1" applyFill="1" applyFont="1">
      <alignment horizontal="center"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5" fontId="2" numFmtId="0" xfId="0" applyAlignment="1" applyFont="1">
      <alignment readingOrder="0"/>
    </xf>
    <xf borderId="0" fillId="5" fontId="1" numFmtId="0" xfId="0" applyFont="1"/>
    <xf borderId="0" fillId="5" fontId="1" numFmtId="0" xfId="0" applyAlignment="1" applyFont="1">
      <alignment readingOrder="0"/>
    </xf>
    <xf borderId="0" fillId="12" fontId="1" numFmtId="0" xfId="0" applyAlignment="1" applyFill="1" applyFont="1">
      <alignment readingOrder="0"/>
    </xf>
    <xf borderId="0" fillId="1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7.13"/>
    <col customWidth="1" min="7" max="9" width="20.5"/>
    <col customWidth="1" min="11" max="11" width="19.63"/>
  </cols>
  <sheetData>
    <row r="1">
      <c r="A1" s="1"/>
      <c r="B1" s="1"/>
      <c r="C1" s="2" t="s">
        <v>0</v>
      </c>
      <c r="E1" s="3" t="s">
        <v>1</v>
      </c>
      <c r="G1" s="4" t="s">
        <v>2</v>
      </c>
      <c r="I1" s="4" t="s">
        <v>3</v>
      </c>
      <c r="K1" s="2" t="s">
        <v>4</v>
      </c>
      <c r="L1" s="2" t="s">
        <v>5</v>
      </c>
      <c r="M1" s="5" t="s">
        <v>6</v>
      </c>
      <c r="N1" s="5" t="s">
        <v>7</v>
      </c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6"/>
      <c r="B2" s="7" t="s">
        <v>8</v>
      </c>
      <c r="C2" s="8" t="s">
        <v>9</v>
      </c>
      <c r="D2" s="8" t="s">
        <v>10</v>
      </c>
      <c r="E2" s="9" t="s">
        <v>9</v>
      </c>
      <c r="F2" s="9" t="s">
        <v>10</v>
      </c>
      <c r="G2" s="10" t="s">
        <v>9</v>
      </c>
      <c r="H2" s="10" t="s">
        <v>10</v>
      </c>
      <c r="I2" s="10" t="s">
        <v>9</v>
      </c>
      <c r="J2" s="10" t="s">
        <v>10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1" t="s">
        <v>11</v>
      </c>
      <c r="B3" s="12" t="s">
        <v>12</v>
      </c>
      <c r="C3" s="13" t="s">
        <v>13</v>
      </c>
      <c r="D3" s="13">
        <v>1761.0</v>
      </c>
      <c r="E3" s="13" t="s">
        <v>13</v>
      </c>
      <c r="F3" s="13" t="s">
        <v>14</v>
      </c>
      <c r="G3" s="13" t="s">
        <v>13</v>
      </c>
      <c r="H3" s="13">
        <v>1.0</v>
      </c>
      <c r="I3" s="13" t="s">
        <v>13</v>
      </c>
      <c r="J3" s="13">
        <v>1.0</v>
      </c>
      <c r="K3" s="13">
        <v>2884.0</v>
      </c>
      <c r="L3" s="13" t="s">
        <v>15</v>
      </c>
      <c r="M3" s="6" t="s">
        <v>16</v>
      </c>
      <c r="N3" s="6" t="s">
        <v>17</v>
      </c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4" t="s">
        <v>18</v>
      </c>
      <c r="B5" s="12" t="s">
        <v>19</v>
      </c>
      <c r="C5" s="13">
        <v>1028.0</v>
      </c>
      <c r="D5" s="13">
        <v>6724.0</v>
      </c>
      <c r="E5" s="13" t="s">
        <v>20</v>
      </c>
      <c r="F5" s="13" t="s">
        <v>21</v>
      </c>
      <c r="G5" s="13">
        <v>1.0</v>
      </c>
      <c r="H5" s="13">
        <v>1.0</v>
      </c>
      <c r="I5" s="13">
        <v>0.0</v>
      </c>
      <c r="J5" s="13">
        <v>1.0</v>
      </c>
      <c r="K5" s="13" t="s">
        <v>22</v>
      </c>
      <c r="L5" s="1"/>
      <c r="M5" s="13" t="s">
        <v>23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5"/>
      <c r="B6" s="6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4" t="s">
        <v>18</v>
      </c>
      <c r="B7" s="11" t="s">
        <v>24</v>
      </c>
      <c r="C7" s="13">
        <v>1352.0</v>
      </c>
      <c r="D7" s="13">
        <v>6724.0</v>
      </c>
      <c r="E7" s="13" t="s">
        <v>25</v>
      </c>
      <c r="F7" s="13" t="s">
        <v>25</v>
      </c>
      <c r="G7" s="13">
        <v>1.0</v>
      </c>
      <c r="H7" s="13">
        <v>1.0</v>
      </c>
      <c r="I7" s="13">
        <v>0.0</v>
      </c>
      <c r="J7" s="13">
        <v>1.0</v>
      </c>
      <c r="K7" s="13" t="s">
        <v>22</v>
      </c>
      <c r="L7" s="1"/>
      <c r="M7" s="13" t="s">
        <v>23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6"/>
      <c r="B8" s="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2" t="s">
        <v>26</v>
      </c>
      <c r="B9" s="12" t="s">
        <v>27</v>
      </c>
      <c r="C9" s="13" t="s">
        <v>13</v>
      </c>
      <c r="D9" s="13">
        <v>629.0</v>
      </c>
      <c r="E9" s="13" t="s">
        <v>13</v>
      </c>
      <c r="F9" s="13" t="s">
        <v>28</v>
      </c>
      <c r="G9" s="13" t="s">
        <v>13</v>
      </c>
      <c r="H9" s="13">
        <v>0.0</v>
      </c>
      <c r="I9" s="13" t="s">
        <v>13</v>
      </c>
      <c r="J9" s="13">
        <v>0.0</v>
      </c>
      <c r="K9" s="13">
        <v>3115.0</v>
      </c>
      <c r="L9" s="13" t="s">
        <v>29</v>
      </c>
      <c r="M9" s="13" t="s">
        <v>30</v>
      </c>
      <c r="N9" s="6" t="s">
        <v>17</v>
      </c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6"/>
      <c r="B10" s="6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2" t="s">
        <v>26</v>
      </c>
      <c r="B11" s="12" t="s">
        <v>31</v>
      </c>
      <c r="C11" s="13">
        <v>191.0</v>
      </c>
      <c r="D11" s="13">
        <v>191.0</v>
      </c>
      <c r="E11" s="13" t="s">
        <v>32</v>
      </c>
      <c r="F11" s="13" t="s">
        <v>32</v>
      </c>
      <c r="G11" s="13">
        <v>0.0</v>
      </c>
      <c r="H11" s="13">
        <v>0.0</v>
      </c>
      <c r="I11" s="13">
        <v>0.0</v>
      </c>
      <c r="J11" s="13">
        <v>0.0</v>
      </c>
      <c r="K11" s="13">
        <v>3407.0</v>
      </c>
      <c r="L11" s="13" t="s">
        <v>33</v>
      </c>
      <c r="M11" s="13" t="s">
        <v>30</v>
      </c>
      <c r="N11" s="6" t="s">
        <v>17</v>
      </c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6"/>
      <c r="B12" s="6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2" t="s">
        <v>34</v>
      </c>
      <c r="B13" s="12" t="s">
        <v>24</v>
      </c>
      <c r="C13" s="13">
        <v>973.0</v>
      </c>
      <c r="D13" s="13">
        <v>2117.0</v>
      </c>
      <c r="E13" s="13" t="s">
        <v>35</v>
      </c>
      <c r="F13" s="13" t="s">
        <v>35</v>
      </c>
      <c r="G13" s="13">
        <v>1.0</v>
      </c>
      <c r="H13" s="13">
        <v>1.0</v>
      </c>
      <c r="I13" s="13">
        <v>1.0</v>
      </c>
      <c r="J13" s="13">
        <v>1.0</v>
      </c>
      <c r="K13" s="13">
        <v>6762.0</v>
      </c>
      <c r="L13" s="13" t="s">
        <v>36</v>
      </c>
      <c r="M13" s="13" t="s">
        <v>23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6"/>
      <c r="B14" s="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2" t="s">
        <v>37</v>
      </c>
      <c r="B15" s="12" t="s">
        <v>38</v>
      </c>
      <c r="C15" s="13">
        <v>648.0</v>
      </c>
      <c r="D15" s="13">
        <v>648.0</v>
      </c>
      <c r="E15" s="13" t="s">
        <v>39</v>
      </c>
      <c r="F15" s="13" t="s">
        <v>39</v>
      </c>
      <c r="G15" s="13">
        <v>1.0</v>
      </c>
      <c r="H15" s="13">
        <v>1.0</v>
      </c>
      <c r="I15" s="13">
        <v>0.0</v>
      </c>
      <c r="J15" s="13">
        <v>0.0</v>
      </c>
      <c r="K15" s="13">
        <v>3518.0</v>
      </c>
      <c r="L15" s="13" t="s">
        <v>40</v>
      </c>
      <c r="M15" s="13" t="s">
        <v>41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6"/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2" t="s">
        <v>42</v>
      </c>
      <c r="B17" s="12" t="s">
        <v>12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3" t="s">
        <v>43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1" t="s">
        <v>44</v>
      </c>
      <c r="B19" s="11" t="s">
        <v>31</v>
      </c>
      <c r="C19" s="1"/>
      <c r="D19" s="1"/>
      <c r="E19" s="1"/>
      <c r="F19" s="1"/>
      <c r="G19" s="1"/>
      <c r="H19" s="1"/>
      <c r="I19" s="1"/>
      <c r="J19" s="1"/>
      <c r="K19" s="13">
        <v>3168.0</v>
      </c>
      <c r="L19" s="13" t="s">
        <v>45</v>
      </c>
      <c r="M19" s="13" t="s">
        <v>46</v>
      </c>
      <c r="N19" s="13" t="s">
        <v>47</v>
      </c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1"/>
      <c r="C23" s="1"/>
      <c r="D23" s="1"/>
      <c r="E23" s="1"/>
      <c r="F23" s="1"/>
      <c r="G23" s="1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/>
      <c r="B25" s="1"/>
      <c r="C25" s="1"/>
      <c r="D25" s="1"/>
      <c r="E25" s="1"/>
      <c r="F25" s="1"/>
      <c r="G25" s="1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/>
      <c r="B26" s="1"/>
      <c r="C26" s="1"/>
      <c r="D26" s="1"/>
      <c r="E26" s="1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</sheetData>
  <mergeCells count="4">
    <mergeCell ref="C1:D1"/>
    <mergeCell ref="E1:F1"/>
    <mergeCell ref="G1:H1"/>
    <mergeCell ref="I1:J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 outlineLevelRow="1"/>
  <cols>
    <col customWidth="1" min="1" max="1" width="24.63"/>
    <col customWidth="1" min="6" max="7" width="12.88"/>
  </cols>
  <sheetData>
    <row r="1">
      <c r="A1" s="16" t="s">
        <v>48</v>
      </c>
      <c r="B1" s="16" t="s">
        <v>49</v>
      </c>
    </row>
    <row r="2" outlineLevel="1">
      <c r="A2" s="17"/>
      <c r="B2" s="18" t="s">
        <v>50</v>
      </c>
      <c r="D2" s="18" t="s">
        <v>51</v>
      </c>
      <c r="F2" s="18" t="s">
        <v>52</v>
      </c>
      <c r="H2" s="19" t="s">
        <v>53</v>
      </c>
      <c r="J2" s="19" t="s">
        <v>54</v>
      </c>
      <c r="L2" s="20" t="s">
        <v>55</v>
      </c>
      <c r="N2" s="20" t="s">
        <v>56</v>
      </c>
      <c r="P2" s="20" t="s">
        <v>57</v>
      </c>
      <c r="R2" s="20" t="s">
        <v>58</v>
      </c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</row>
    <row r="3" outlineLevel="1">
      <c r="A3" s="17"/>
      <c r="B3" s="22" t="s">
        <v>59</v>
      </c>
      <c r="C3" s="22" t="s">
        <v>60</v>
      </c>
      <c r="D3" s="22" t="s">
        <v>61</v>
      </c>
      <c r="E3" s="22" t="s">
        <v>60</v>
      </c>
      <c r="F3" s="22" t="s">
        <v>61</v>
      </c>
      <c r="G3" s="22" t="s">
        <v>60</v>
      </c>
      <c r="H3" s="22" t="s">
        <v>61</v>
      </c>
      <c r="I3" s="22" t="s">
        <v>60</v>
      </c>
      <c r="J3" s="22" t="s">
        <v>61</v>
      </c>
      <c r="K3" s="22" t="s">
        <v>60</v>
      </c>
      <c r="L3" s="22" t="s">
        <v>61</v>
      </c>
      <c r="M3" s="22" t="s">
        <v>60</v>
      </c>
      <c r="N3" s="22" t="s">
        <v>61</v>
      </c>
      <c r="O3" s="22" t="s">
        <v>60</v>
      </c>
      <c r="P3" s="22" t="s">
        <v>61</v>
      </c>
      <c r="Q3" s="22" t="s">
        <v>60</v>
      </c>
      <c r="R3" s="22" t="s">
        <v>61</v>
      </c>
      <c r="S3" s="22" t="s">
        <v>60</v>
      </c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</row>
    <row r="4">
      <c r="A4" s="23" t="s">
        <v>62</v>
      </c>
      <c r="N4" s="23"/>
      <c r="O4" s="23"/>
    </row>
    <row r="5">
      <c r="A5" s="24" t="s">
        <v>63</v>
      </c>
    </row>
    <row r="6">
      <c r="A6" s="24" t="s">
        <v>64</v>
      </c>
      <c r="E6" s="25">
        <v>2.0</v>
      </c>
      <c r="G6" s="24">
        <v>2.0</v>
      </c>
      <c r="I6" s="24">
        <v>3.0</v>
      </c>
    </row>
    <row r="7">
      <c r="A7" s="24" t="s">
        <v>65</v>
      </c>
      <c r="E7" s="25">
        <v>1.0</v>
      </c>
      <c r="G7" s="24">
        <v>1.0</v>
      </c>
    </row>
    <row r="8">
      <c r="A8" s="24" t="s">
        <v>66</v>
      </c>
      <c r="D8" s="24">
        <v>1.0</v>
      </c>
      <c r="E8" s="25">
        <v>1.0</v>
      </c>
      <c r="F8" s="24">
        <v>1.0</v>
      </c>
      <c r="G8" s="24">
        <v>1.0</v>
      </c>
    </row>
    <row r="9">
      <c r="A9" s="24" t="s">
        <v>67</v>
      </c>
      <c r="C9" s="24">
        <v>1.0</v>
      </c>
      <c r="E9" s="25">
        <v>4.0</v>
      </c>
      <c r="G9" s="24">
        <v>2.0</v>
      </c>
      <c r="I9" s="24">
        <v>3.0</v>
      </c>
      <c r="J9" s="24">
        <v>1.0</v>
      </c>
      <c r="K9" s="24">
        <v>1.0</v>
      </c>
      <c r="N9" s="24">
        <v>1.0</v>
      </c>
      <c r="O9" s="24">
        <v>1.0</v>
      </c>
    </row>
    <row r="10">
      <c r="A10" s="24" t="s">
        <v>68</v>
      </c>
      <c r="E10" s="26"/>
    </row>
    <row r="11">
      <c r="A11" s="24" t="s">
        <v>69</v>
      </c>
      <c r="C11" s="24">
        <v>2.0</v>
      </c>
      <c r="E11" s="27">
        <v>1.0</v>
      </c>
      <c r="F11" s="24">
        <v>3.0</v>
      </c>
      <c r="G11" s="24">
        <v>1.0</v>
      </c>
      <c r="I11" s="24">
        <v>1.0</v>
      </c>
      <c r="M11" s="24">
        <v>1.0</v>
      </c>
    </row>
    <row r="12">
      <c r="A12" s="24" t="s">
        <v>70</v>
      </c>
      <c r="C12" s="24">
        <v>6.0</v>
      </c>
      <c r="D12" s="24">
        <v>9.0</v>
      </c>
      <c r="E12" s="25">
        <v>45.0</v>
      </c>
      <c r="F12" s="24">
        <v>10.0</v>
      </c>
      <c r="G12" s="24">
        <v>56.0</v>
      </c>
      <c r="I12" s="24">
        <v>3.0</v>
      </c>
      <c r="L12" s="24">
        <v>2.0</v>
      </c>
      <c r="M12" s="24">
        <v>9.0</v>
      </c>
      <c r="N12" s="24">
        <v>4.0</v>
      </c>
      <c r="O12" s="24">
        <v>4.0</v>
      </c>
    </row>
    <row r="13">
      <c r="A13" s="24" t="s">
        <v>71</v>
      </c>
      <c r="D13" s="24">
        <v>1.0</v>
      </c>
      <c r="E13" s="25">
        <v>6.0</v>
      </c>
      <c r="G13" s="24">
        <v>9.0</v>
      </c>
      <c r="J13" s="24">
        <v>1.0</v>
      </c>
      <c r="K13" s="24">
        <v>1.0</v>
      </c>
      <c r="L13" s="24">
        <v>1.0</v>
      </c>
    </row>
    <row r="14">
      <c r="A14" s="24" t="s">
        <v>72</v>
      </c>
      <c r="C14" s="24">
        <v>2.0</v>
      </c>
      <c r="E14" s="26"/>
      <c r="G14" s="24">
        <v>6.0</v>
      </c>
      <c r="N14" s="24">
        <v>1.0</v>
      </c>
      <c r="O14" s="24">
        <v>1.0</v>
      </c>
    </row>
    <row r="15">
      <c r="A15" s="24" t="s">
        <v>73</v>
      </c>
      <c r="C15" s="24">
        <v>8.0</v>
      </c>
      <c r="D15" s="24">
        <v>10.0</v>
      </c>
      <c r="E15" s="28">
        <v>21.0</v>
      </c>
      <c r="F15" s="24">
        <v>12.0</v>
      </c>
      <c r="G15" s="24">
        <v>27.0</v>
      </c>
      <c r="I15" s="24">
        <v>2.0</v>
      </c>
      <c r="J15" s="24">
        <v>3.0</v>
      </c>
      <c r="K15" s="24">
        <v>3.0</v>
      </c>
      <c r="M15" s="24">
        <v>8.0</v>
      </c>
      <c r="N15" s="24">
        <v>6.0</v>
      </c>
      <c r="O15" s="24">
        <v>6.0</v>
      </c>
    </row>
    <row r="16">
      <c r="A16" s="24" t="s">
        <v>74</v>
      </c>
    </row>
    <row r="17">
      <c r="A17" s="24" t="s">
        <v>75</v>
      </c>
      <c r="C17" s="24">
        <v>1.0</v>
      </c>
      <c r="N17" s="24">
        <v>1.0</v>
      </c>
      <c r="O17" s="24">
        <v>1.0</v>
      </c>
    </row>
    <row r="18">
      <c r="A18" s="24" t="s">
        <v>76</v>
      </c>
      <c r="H18" s="26"/>
      <c r="I18" s="29">
        <v>2.0</v>
      </c>
    </row>
    <row r="19">
      <c r="A19" s="24" t="s">
        <v>77</v>
      </c>
      <c r="D19" s="24">
        <v>3.0</v>
      </c>
      <c r="E19" s="24">
        <v>4.0</v>
      </c>
      <c r="F19" s="24">
        <v>3.0</v>
      </c>
      <c r="G19" s="24">
        <v>4.0</v>
      </c>
      <c r="L19" s="24">
        <v>13.0</v>
      </c>
      <c r="M19" s="24">
        <v>6.0</v>
      </c>
    </row>
    <row r="20">
      <c r="A20" s="30" t="s">
        <v>78</v>
      </c>
      <c r="B20" s="31">
        <f t="shared" ref="B20:O20" si="1">SUM(B5:B19)</f>
        <v>0</v>
      </c>
      <c r="C20" s="32">
        <f t="shared" si="1"/>
        <v>20</v>
      </c>
      <c r="D20" s="32">
        <f t="shared" si="1"/>
        <v>24</v>
      </c>
      <c r="E20" s="32">
        <f t="shared" si="1"/>
        <v>85</v>
      </c>
      <c r="F20" s="32">
        <f t="shared" si="1"/>
        <v>29</v>
      </c>
      <c r="G20" s="32">
        <f t="shared" si="1"/>
        <v>109</v>
      </c>
      <c r="H20" s="32">
        <f t="shared" si="1"/>
        <v>0</v>
      </c>
      <c r="I20" s="32">
        <f t="shared" si="1"/>
        <v>14</v>
      </c>
      <c r="J20" s="32">
        <f t="shared" si="1"/>
        <v>5</v>
      </c>
      <c r="K20" s="32">
        <f t="shared" si="1"/>
        <v>5</v>
      </c>
      <c r="L20" s="32">
        <f t="shared" si="1"/>
        <v>16</v>
      </c>
      <c r="M20" s="32">
        <f t="shared" si="1"/>
        <v>24</v>
      </c>
      <c r="N20" s="32">
        <f t="shared" si="1"/>
        <v>13</v>
      </c>
      <c r="O20" s="32">
        <f t="shared" si="1"/>
        <v>13</v>
      </c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</row>
    <row r="21">
      <c r="H21" s="26"/>
      <c r="I21" s="26"/>
    </row>
    <row r="22">
      <c r="A22" s="23" t="s">
        <v>79</v>
      </c>
      <c r="H22" s="26"/>
      <c r="I22" s="26"/>
    </row>
    <row r="23">
      <c r="A23" s="24" t="s">
        <v>80</v>
      </c>
      <c r="E23" s="24">
        <v>67.0</v>
      </c>
      <c r="G23" s="24">
        <v>54.0</v>
      </c>
      <c r="H23" s="26"/>
      <c r="I23" s="29">
        <v>5.0</v>
      </c>
      <c r="J23" s="24">
        <v>1.0</v>
      </c>
      <c r="K23" s="24">
        <v>1.0</v>
      </c>
      <c r="L23" s="24">
        <v>19.0</v>
      </c>
      <c r="M23" s="24">
        <v>28.0</v>
      </c>
    </row>
    <row r="24">
      <c r="A24" s="24" t="s">
        <v>81</v>
      </c>
      <c r="H24" s="26"/>
      <c r="I24" s="26"/>
    </row>
    <row r="25">
      <c r="A25" s="24" t="s">
        <v>82</v>
      </c>
      <c r="E25" s="24">
        <v>31.0</v>
      </c>
      <c r="G25" s="24">
        <v>42.0</v>
      </c>
      <c r="H25" s="26"/>
      <c r="I25" s="26"/>
      <c r="L25" s="24">
        <v>1.0</v>
      </c>
      <c r="M25" s="24">
        <v>10.0</v>
      </c>
    </row>
    <row r="26">
      <c r="A26" s="24" t="s">
        <v>83</v>
      </c>
      <c r="E26" s="24">
        <v>5.0</v>
      </c>
      <c r="G26" s="24">
        <v>4.0</v>
      </c>
      <c r="H26" s="26"/>
      <c r="I26" s="29">
        <v>5.0</v>
      </c>
      <c r="M26" s="24">
        <v>1.0</v>
      </c>
    </row>
    <row r="27">
      <c r="A27" s="24" t="s">
        <v>84</v>
      </c>
      <c r="H27" s="26"/>
      <c r="I27" s="26"/>
    </row>
    <row r="28">
      <c r="A28" s="24" t="s">
        <v>85</v>
      </c>
      <c r="C28" s="24">
        <v>2.0</v>
      </c>
      <c r="E28" s="24">
        <v>10.0</v>
      </c>
      <c r="G28" s="24">
        <v>13.0</v>
      </c>
      <c r="H28" s="26"/>
      <c r="I28" s="26"/>
      <c r="N28" s="24">
        <v>1.0</v>
      </c>
      <c r="O28" s="24">
        <v>1.0</v>
      </c>
    </row>
    <row r="29">
      <c r="A29" s="24" t="s">
        <v>86</v>
      </c>
      <c r="E29" s="24">
        <v>1.0</v>
      </c>
      <c r="G29" s="24">
        <v>1.0</v>
      </c>
    </row>
    <row r="30">
      <c r="A30" s="30" t="s">
        <v>87</v>
      </c>
      <c r="B30" s="31">
        <f t="shared" ref="B30:O30" si="2">SUM(B23:B29)</f>
        <v>0</v>
      </c>
      <c r="C30" s="32">
        <f t="shared" si="2"/>
        <v>2</v>
      </c>
      <c r="D30" s="32">
        <f t="shared" si="2"/>
        <v>0</v>
      </c>
      <c r="E30" s="32">
        <f t="shared" si="2"/>
        <v>114</v>
      </c>
      <c r="F30" s="32">
        <f t="shared" si="2"/>
        <v>0</v>
      </c>
      <c r="G30" s="32">
        <f t="shared" si="2"/>
        <v>114</v>
      </c>
      <c r="H30" s="32">
        <f t="shared" si="2"/>
        <v>0</v>
      </c>
      <c r="I30" s="32">
        <f t="shared" si="2"/>
        <v>10</v>
      </c>
      <c r="J30" s="32">
        <f t="shared" si="2"/>
        <v>1</v>
      </c>
      <c r="K30" s="32">
        <f t="shared" si="2"/>
        <v>1</v>
      </c>
      <c r="L30" s="32">
        <f t="shared" si="2"/>
        <v>20</v>
      </c>
      <c r="M30" s="32">
        <f t="shared" si="2"/>
        <v>39</v>
      </c>
      <c r="N30" s="32">
        <f t="shared" si="2"/>
        <v>1</v>
      </c>
      <c r="O30" s="32">
        <f t="shared" si="2"/>
        <v>1</v>
      </c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</row>
    <row r="32">
      <c r="A32" s="23" t="s">
        <v>88</v>
      </c>
    </row>
    <row r="33">
      <c r="A33" s="24" t="s">
        <v>89</v>
      </c>
      <c r="D33" s="24">
        <v>3.0</v>
      </c>
      <c r="E33" s="24">
        <v>9.0</v>
      </c>
      <c r="F33" s="24">
        <v>3.0</v>
      </c>
      <c r="G33" s="24">
        <v>7.0</v>
      </c>
    </row>
    <row r="34">
      <c r="A34" s="24" t="s">
        <v>90</v>
      </c>
    </row>
    <row r="35">
      <c r="A35" s="24" t="s">
        <v>91</v>
      </c>
    </row>
    <row r="36">
      <c r="A36" s="24" t="s">
        <v>92</v>
      </c>
      <c r="C36" s="24">
        <v>3.0</v>
      </c>
      <c r="E36" s="24">
        <v>2.0</v>
      </c>
      <c r="F36" s="24">
        <v>2.0</v>
      </c>
      <c r="G36" s="24">
        <v>2.0</v>
      </c>
      <c r="I36" s="24">
        <v>1.0</v>
      </c>
      <c r="L36" s="24">
        <v>3.0</v>
      </c>
      <c r="M36" s="24">
        <v>2.0</v>
      </c>
    </row>
    <row r="37">
      <c r="A37" s="24" t="s">
        <v>93</v>
      </c>
    </row>
    <row r="38">
      <c r="A38" s="24" t="s">
        <v>94</v>
      </c>
      <c r="C38" s="24">
        <v>2.0</v>
      </c>
      <c r="E38" s="24">
        <v>6.0</v>
      </c>
      <c r="F38" s="24">
        <v>6.0</v>
      </c>
      <c r="G38" s="24">
        <v>14.0</v>
      </c>
    </row>
    <row r="39">
      <c r="A39" s="30" t="s">
        <v>95</v>
      </c>
      <c r="B39" s="31">
        <f t="shared" ref="B39:O39" si="3">SUM(B33:B38)</f>
        <v>0</v>
      </c>
      <c r="C39" s="31">
        <f t="shared" si="3"/>
        <v>5</v>
      </c>
      <c r="D39" s="31">
        <f t="shared" si="3"/>
        <v>3</v>
      </c>
      <c r="E39" s="31">
        <f t="shared" si="3"/>
        <v>17</v>
      </c>
      <c r="F39" s="31">
        <f t="shared" si="3"/>
        <v>11</v>
      </c>
      <c r="G39" s="31">
        <f t="shared" si="3"/>
        <v>23</v>
      </c>
      <c r="H39" s="31">
        <f t="shared" si="3"/>
        <v>0</v>
      </c>
      <c r="I39" s="31">
        <f t="shared" si="3"/>
        <v>1</v>
      </c>
      <c r="J39" s="31">
        <f t="shared" si="3"/>
        <v>0</v>
      </c>
      <c r="K39" s="31">
        <f t="shared" si="3"/>
        <v>0</v>
      </c>
      <c r="L39" s="31">
        <f t="shared" si="3"/>
        <v>3</v>
      </c>
      <c r="M39" s="31">
        <f t="shared" si="3"/>
        <v>2</v>
      </c>
      <c r="N39" s="31">
        <f t="shared" si="3"/>
        <v>0</v>
      </c>
      <c r="O39" s="31">
        <f t="shared" si="3"/>
        <v>0</v>
      </c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</row>
    <row r="41">
      <c r="A41" s="23" t="s">
        <v>96</v>
      </c>
    </row>
    <row r="42">
      <c r="A42" s="29" t="s">
        <v>97</v>
      </c>
      <c r="B42" s="26"/>
      <c r="C42" s="29">
        <v>1.0</v>
      </c>
      <c r="D42" s="26"/>
      <c r="E42" s="26"/>
      <c r="F42" s="26"/>
      <c r="G42" s="26"/>
      <c r="H42" s="26"/>
      <c r="I42" s="26"/>
      <c r="J42" s="26"/>
      <c r="K42" s="26"/>
      <c r="L42" s="26"/>
      <c r="M42" s="29">
        <v>1.0</v>
      </c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>
      <c r="A43" s="29" t="s">
        <v>98</v>
      </c>
      <c r="B43" s="26"/>
      <c r="C43" s="26"/>
      <c r="D43" s="29">
        <v>1.0</v>
      </c>
      <c r="E43" s="26"/>
      <c r="F43" s="29">
        <v>1.0</v>
      </c>
      <c r="G43" s="26"/>
      <c r="H43" s="26"/>
      <c r="I43" s="26"/>
      <c r="J43" s="26"/>
      <c r="K43" s="26"/>
      <c r="L43" s="26"/>
      <c r="M43" s="29">
        <v>1.0</v>
      </c>
      <c r="N43" s="29">
        <v>1.0</v>
      </c>
      <c r="O43" s="29">
        <v>1.0</v>
      </c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>
      <c r="A44" s="29" t="s">
        <v>99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>
      <c r="A45" s="24" t="s">
        <v>100</v>
      </c>
      <c r="G45" s="24"/>
    </row>
    <row r="46">
      <c r="A46" s="24" t="s">
        <v>101</v>
      </c>
      <c r="E46" s="24">
        <v>1.0</v>
      </c>
      <c r="G46" s="24">
        <v>1.0</v>
      </c>
    </row>
    <row r="47">
      <c r="A47" s="24" t="s">
        <v>102</v>
      </c>
      <c r="D47" s="24">
        <v>2.0</v>
      </c>
      <c r="E47" s="24">
        <v>7.0</v>
      </c>
      <c r="F47" s="24">
        <v>3.0</v>
      </c>
      <c r="G47" s="24">
        <v>8.0</v>
      </c>
      <c r="I47" s="24">
        <v>1.0</v>
      </c>
      <c r="L47" s="24">
        <v>1.0</v>
      </c>
      <c r="M47" s="24">
        <v>3.0</v>
      </c>
      <c r="N47" s="24">
        <v>1.0</v>
      </c>
      <c r="O47" s="24">
        <v>1.0</v>
      </c>
    </row>
    <row r="48">
      <c r="A48" s="24" t="s">
        <v>103</v>
      </c>
      <c r="E48" s="24">
        <v>1.0</v>
      </c>
      <c r="G48" s="24">
        <v>1.0</v>
      </c>
      <c r="M48" s="24">
        <v>1.0</v>
      </c>
      <c r="N48" s="24">
        <v>2.0</v>
      </c>
      <c r="O48" s="24">
        <v>2.0</v>
      </c>
    </row>
    <row r="49">
      <c r="A49" s="30" t="s">
        <v>104</v>
      </c>
      <c r="B49" s="31">
        <f t="shared" ref="B49:O49" si="4">SUM(B42:B48)</f>
        <v>0</v>
      </c>
      <c r="C49" s="31">
        <f t="shared" si="4"/>
        <v>1</v>
      </c>
      <c r="D49" s="31">
        <f t="shared" si="4"/>
        <v>3</v>
      </c>
      <c r="E49" s="31">
        <f t="shared" si="4"/>
        <v>9</v>
      </c>
      <c r="F49" s="31">
        <f t="shared" si="4"/>
        <v>4</v>
      </c>
      <c r="G49" s="31">
        <f t="shared" si="4"/>
        <v>10</v>
      </c>
      <c r="H49" s="31">
        <f t="shared" si="4"/>
        <v>0</v>
      </c>
      <c r="I49" s="31">
        <f t="shared" si="4"/>
        <v>1</v>
      </c>
      <c r="J49" s="31">
        <f t="shared" si="4"/>
        <v>0</v>
      </c>
      <c r="K49" s="31">
        <f t="shared" si="4"/>
        <v>0</v>
      </c>
      <c r="L49" s="31">
        <f t="shared" si="4"/>
        <v>1</v>
      </c>
      <c r="M49" s="31">
        <f t="shared" si="4"/>
        <v>6</v>
      </c>
      <c r="N49" s="31">
        <f t="shared" si="4"/>
        <v>4</v>
      </c>
      <c r="O49" s="31">
        <f t="shared" si="4"/>
        <v>4</v>
      </c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</row>
    <row r="51">
      <c r="A51" s="23" t="s">
        <v>105</v>
      </c>
    </row>
    <row r="52">
      <c r="A52" s="24" t="s">
        <v>106</v>
      </c>
      <c r="D52" s="24">
        <v>2.0</v>
      </c>
      <c r="E52" s="24">
        <v>2.0</v>
      </c>
      <c r="F52" s="24">
        <v>2.0</v>
      </c>
      <c r="G52" s="24">
        <v>2.0</v>
      </c>
    </row>
    <row r="53">
      <c r="A53" s="24" t="s">
        <v>107</v>
      </c>
    </row>
    <row r="54">
      <c r="A54" s="24" t="s">
        <v>108</v>
      </c>
    </row>
    <row r="55">
      <c r="A55" s="24" t="s">
        <v>109</v>
      </c>
    </row>
    <row r="56">
      <c r="A56" s="24" t="s">
        <v>110</v>
      </c>
      <c r="C56" s="24">
        <v>10.0</v>
      </c>
      <c r="E56" s="24">
        <v>6.0</v>
      </c>
      <c r="G56" s="24">
        <v>6.0</v>
      </c>
      <c r="L56" s="24">
        <v>8.0</v>
      </c>
      <c r="M56" s="24">
        <v>5.0</v>
      </c>
    </row>
    <row r="57">
      <c r="A57" s="24" t="s">
        <v>111</v>
      </c>
    </row>
    <row r="58">
      <c r="A58" s="24" t="s">
        <v>112</v>
      </c>
    </row>
    <row r="59">
      <c r="A59" s="24" t="s">
        <v>113</v>
      </c>
    </row>
    <row r="60">
      <c r="A60" s="30" t="s">
        <v>114</v>
      </c>
      <c r="B60" s="31">
        <f t="shared" ref="B60:O60" si="5">SUM(B52:B59)</f>
        <v>0</v>
      </c>
      <c r="C60" s="31">
        <f t="shared" si="5"/>
        <v>10</v>
      </c>
      <c r="D60" s="31">
        <f t="shared" si="5"/>
        <v>2</v>
      </c>
      <c r="E60" s="31">
        <f t="shared" si="5"/>
        <v>8</v>
      </c>
      <c r="F60" s="31">
        <f t="shared" si="5"/>
        <v>2</v>
      </c>
      <c r="G60" s="31">
        <f t="shared" si="5"/>
        <v>8</v>
      </c>
      <c r="H60" s="31">
        <f t="shared" si="5"/>
        <v>0</v>
      </c>
      <c r="I60" s="31">
        <f t="shared" si="5"/>
        <v>0</v>
      </c>
      <c r="J60" s="31">
        <f t="shared" si="5"/>
        <v>0</v>
      </c>
      <c r="K60" s="31">
        <f t="shared" si="5"/>
        <v>0</v>
      </c>
      <c r="L60" s="31">
        <f t="shared" si="5"/>
        <v>8</v>
      </c>
      <c r="M60" s="31">
        <f t="shared" si="5"/>
        <v>5</v>
      </c>
      <c r="N60" s="31">
        <f t="shared" si="5"/>
        <v>0</v>
      </c>
      <c r="O60" s="31">
        <f t="shared" si="5"/>
        <v>0</v>
      </c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</row>
    <row r="62">
      <c r="A62" s="23" t="s">
        <v>115</v>
      </c>
    </row>
    <row r="63">
      <c r="A63" s="24" t="s">
        <v>116</v>
      </c>
    </row>
    <row r="64">
      <c r="A64" s="24" t="s">
        <v>117</v>
      </c>
      <c r="D64" s="24">
        <v>1.0</v>
      </c>
      <c r="E64" s="24">
        <v>9.0</v>
      </c>
      <c r="F64" s="24">
        <v>4.0</v>
      </c>
      <c r="G64" s="24">
        <v>12.0</v>
      </c>
      <c r="M64" s="24">
        <v>5.0</v>
      </c>
      <c r="N64" s="24">
        <v>9.0</v>
      </c>
      <c r="O64" s="24">
        <v>9.0</v>
      </c>
    </row>
    <row r="65">
      <c r="A65" s="24" t="s">
        <v>118</v>
      </c>
      <c r="E65" s="24">
        <v>2.0</v>
      </c>
      <c r="G65" s="24">
        <v>2.0</v>
      </c>
      <c r="L65" s="24">
        <v>1.0</v>
      </c>
      <c r="M65" s="24">
        <v>1.0</v>
      </c>
    </row>
    <row r="66">
      <c r="A66" s="24" t="s">
        <v>119</v>
      </c>
    </row>
    <row r="67">
      <c r="A67" s="24" t="s">
        <v>120</v>
      </c>
      <c r="E67" s="24">
        <v>2.0</v>
      </c>
      <c r="G67" s="24">
        <v>2.0</v>
      </c>
      <c r="M67" s="24">
        <v>1.0</v>
      </c>
    </row>
    <row r="68">
      <c r="A68" s="24" t="s">
        <v>121</v>
      </c>
      <c r="E68" s="24">
        <v>5.0</v>
      </c>
    </row>
    <row r="69">
      <c r="A69" s="24" t="s">
        <v>122</v>
      </c>
    </row>
    <row r="70">
      <c r="A70" s="30" t="s">
        <v>123</v>
      </c>
      <c r="B70" s="31">
        <f t="shared" ref="B70:O70" si="6">SUM(B63:B69)</f>
        <v>0</v>
      </c>
      <c r="C70" s="31">
        <f t="shared" si="6"/>
        <v>0</v>
      </c>
      <c r="D70" s="31">
        <f t="shared" si="6"/>
        <v>1</v>
      </c>
      <c r="E70" s="31">
        <f t="shared" si="6"/>
        <v>18</v>
      </c>
      <c r="F70" s="31">
        <f t="shared" si="6"/>
        <v>4</v>
      </c>
      <c r="G70" s="31">
        <f t="shared" si="6"/>
        <v>16</v>
      </c>
      <c r="H70" s="31">
        <f t="shared" si="6"/>
        <v>0</v>
      </c>
      <c r="I70" s="31">
        <f t="shared" si="6"/>
        <v>0</v>
      </c>
      <c r="J70" s="31">
        <f t="shared" si="6"/>
        <v>0</v>
      </c>
      <c r="K70" s="31">
        <f t="shared" si="6"/>
        <v>0</v>
      </c>
      <c r="L70" s="31">
        <f t="shared" si="6"/>
        <v>1</v>
      </c>
      <c r="M70" s="31">
        <f t="shared" si="6"/>
        <v>7</v>
      </c>
      <c r="N70" s="31">
        <f t="shared" si="6"/>
        <v>9</v>
      </c>
      <c r="O70" s="31">
        <f t="shared" si="6"/>
        <v>9</v>
      </c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</row>
    <row r="72">
      <c r="A72" s="33" t="s">
        <v>124</v>
      </c>
      <c r="B72" s="33">
        <f t="shared" ref="B72:O72" si="7">SUM(B20,B30,B39,B49,B60,B70)</f>
        <v>0</v>
      </c>
      <c r="C72" s="33">
        <f t="shared" si="7"/>
        <v>38</v>
      </c>
      <c r="D72" s="34">
        <f t="shared" si="7"/>
        <v>33</v>
      </c>
      <c r="E72" s="33">
        <f t="shared" si="7"/>
        <v>251</v>
      </c>
      <c r="F72" s="34">
        <f t="shared" si="7"/>
        <v>50</v>
      </c>
      <c r="G72" s="33">
        <f t="shared" si="7"/>
        <v>280</v>
      </c>
      <c r="H72" s="34">
        <f t="shared" si="7"/>
        <v>0</v>
      </c>
      <c r="I72" s="33">
        <f t="shared" si="7"/>
        <v>26</v>
      </c>
      <c r="J72" s="34">
        <f t="shared" si="7"/>
        <v>6</v>
      </c>
      <c r="K72" s="33">
        <f t="shared" si="7"/>
        <v>6</v>
      </c>
      <c r="L72" s="34">
        <f t="shared" si="7"/>
        <v>49</v>
      </c>
      <c r="M72" s="33">
        <f t="shared" si="7"/>
        <v>83</v>
      </c>
      <c r="N72" s="34">
        <f t="shared" si="7"/>
        <v>27</v>
      </c>
      <c r="O72" s="33">
        <f t="shared" si="7"/>
        <v>27</v>
      </c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</row>
  </sheetData>
  <mergeCells count="10">
    <mergeCell ref="N2:O2"/>
    <mergeCell ref="P2:Q2"/>
    <mergeCell ref="B1:S1"/>
    <mergeCell ref="B2:C2"/>
    <mergeCell ref="D2:E2"/>
    <mergeCell ref="F2:G2"/>
    <mergeCell ref="H2:I2"/>
    <mergeCell ref="J2:K2"/>
    <mergeCell ref="L2:M2"/>
    <mergeCell ref="R2:S2"/>
  </mergeCells>
  <drawing r:id="rId1"/>
</worksheet>
</file>